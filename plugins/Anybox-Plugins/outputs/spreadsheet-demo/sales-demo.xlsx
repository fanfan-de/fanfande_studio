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7b5031c3f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emo" sheetId="1" r:id="R6394ef8978ef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0.0%"/>
  </x:numFmts>
  <x:fonts count="6">
    <x:font>
      <x:sz val="11"/>
      <x:name val="Carlito"/>
    </x:font>
    <x:font>
      <x:b/>
      <x:sz val="18"/>
      <x:color theme="0"/>
      <x:name val="Carlito"/>
    </x:font>
    <x:font>
      <x:b/>
      <x:sz val="11"/>
      <x:color rgb="111827"/>
      <x:name val="Carlito"/>
    </x:font>
    <x:font>
      <x:b/>
      <x:sz val="11"/>
      <x:color theme="0"/>
      <x:name val="Carlito"/>
    </x:font>
    <x:font>
      <x:b/>
      <x:sz val="11"/>
      <x:name val="Carlito"/>
    </x:font>
    <x:font>
      <x:i/>
      <x:sz val="11"/>
      <x:color rgb="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rgb="EAF2FF"/>
      </x:patternFill>
    </x:fill>
    <x:fill>
      <x:patternFill patternType="solid">
        <x:fgColor theme="5"/>
      </x:patternFill>
    </x:fill>
    <x:fill>
      <x:patternFill patternType="solid">
        <x:fgColor rgb="F8FAF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b7efe0ad24b90" /><Relationship Type="http://schemas.openxmlformats.org/officeDocument/2006/relationships/theme" Target="/xl/theme/theme1.xml" Id="Rd1f07cbff59f4d11" /><Relationship Type="http://schemas.openxmlformats.org/officeDocument/2006/relationships/sharedStrings" Target="/xl/sharedStrings.xml" Id="Rff58ca9aca4a4c9f" /><Relationship Type="http://schemas.openxmlformats.org/officeDocument/2006/relationships/worksheet" Target="/xl/worksheets/sheet1.xml" Id="R6394ef8978ef4190" /></Relationships>
</file>

<file path=xl/theme/theme1.xml><?xml version="1.0" encoding="utf-8"?>
<a:theme xmlns:a="http://schemas.openxmlformats.org/drawingml/2006/main" name="Demo">
  <a:themeElements>
    <a:clrScheme name="Demo">
      <a:dk1>
        <a:srgbClr val="111827"/>
      </a:dk1>
      <a:lt1>
        <a:srgbClr val="FFFFFF"/>
      </a:lt1>
      <a:dk2>
        <a:srgbClr val="0E2841"/>
      </a:dk2>
      <a:lt2>
        <a:srgbClr val="E5E7EB"/>
      </a:lt2>
      <a:accent1>
        <a:srgbClr val="2563EB"/>
      </a:accent1>
      <a:accent2>
        <a:srgbClr val="16A34A"/>
      </a:accent2>
      <a:accent3>
        <a:srgbClr val="F97316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Dem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16.81999969482422" hidden="0" customWidth="1"/>
    <x:col min="3" max="3" width="14.130000114440918" hidden="0" customWidth="1"/>
    <x:col min="4" max="4" width="14.130000114440918" hidden="0" customWidth="1"/>
    <x:col min="5" max="5" width="14.130000114440918" hidden="0" customWidth="1"/>
    <x:col min="6" max="6" width="14.130000114440918" hidden="0" customWidth="1"/>
    <x:col min="8" max="8" width="19.520000457763672" hidden="0" customWidth="1"/>
    <x:col min="9" max="9" width="19.520000457763672" hidden="0" customWidth="1"/>
  </x:cols>
  <x:sheetData>
    <x:row r="1">
      <x:c r="A1" s="3" t="str">
        <x:v>Quarterly Sales Demo</x:v>
      </x:c>
    </x:row>
    <x:row r="3">
      <x:c r="A3" s="5" t="str">
        <x:v>Month</x:v>
      </x:c>
      <x:c r="B3" s="5" t="str">
        <x:v>Product</x:v>
      </x:c>
      <x:c r="C3" s="5" t="str">
        <x:v>Units</x:v>
      </x:c>
      <x:c r="D3" s="5" t="str">
        <x:v>Unit Price</x:v>
      </x:c>
      <x:c r="E3" s="5" t="str">
        <x:v>Discount</x:v>
      </x:c>
      <x:c r="F3" s="5" t="str">
        <x:v>Revenue</x:v>
      </x:c>
      <x:c r="H3" s="8" t="str">
        <x:v>Summary</x:v>
      </x:c>
    </x:row>
    <x:row r="4">
      <x:c r="A4" t="str">
        <x:v>January</x:v>
      </x:c>
      <x:c r="B4" t="str">
        <x:v>Notebook</x:v>
      </x:c>
      <x:c r="C4" t="n">
        <x:v>140</x:v>
      </x:c>
      <x:c r="D4" s="12" t="n">
        <x:v>18.5</x:v>
      </x:c>
      <x:c r="E4" s="13" t="n">
        <x:v>0.05</x:v>
      </x:c>
      <x:c r="F4" s="12" t="n">
        <x:f>C4*D4*(1-E4)</x:f>
        <x:v>2460.5</x:v>
      </x:c>
      <x:c r="H4" s="10" t="str">
        <x:v>Total Units</x:v>
      </x:c>
      <x:c r="I4" s="11" t="n">
        <x:f>SUM(C4:C9)</x:f>
        <x:v>759</x:v>
      </x:c>
    </x:row>
    <x:row r="5">
      <x:c r="A5" t="str">
        <x:v>January</x:v>
      </x:c>
      <x:c r="B5" t="str">
        <x:v>Backpack</x:v>
      </x:c>
      <x:c r="C5" t="n">
        <x:v>72</x:v>
      </x:c>
      <x:c r="D5" s="12" t="n">
        <x:v>49</x:v>
      </x:c>
      <x:c r="E5" s="13" t="n">
        <x:v>0.08</x:v>
      </x:c>
      <x:c r="F5" s="12" t="n">
        <x:f>C5*D5*(1-E5)</x:f>
        <x:v>3245.76</x:v>
      </x:c>
      <x:c r="H5" s="10" t="str">
        <x:v>Gross Revenue</x:v>
      </x:c>
      <x:c r="I5" s="14" t="n">
        <x:f>SUM(F4:F9)</x:f>
        <x:v>20901.37</x:v>
      </x:c>
    </x:row>
    <x:row r="6">
      <x:c r="A6" t="str">
        <x:v>February</x:v>
      </x:c>
      <x:c r="B6" t="str">
        <x:v>Notebook</x:v>
      </x:c>
      <x:c r="C6" t="n">
        <x:v>165</x:v>
      </x:c>
      <x:c r="D6" s="12" t="n">
        <x:v>18.5</x:v>
      </x:c>
      <x:c r="E6" s="13" t="n">
        <x:v>0.04</x:v>
      </x:c>
      <x:c r="F6" s="12" t="n">
        <x:f>C6*D6*(1-E6)</x:f>
        <x:v>2930.4</x:v>
      </x:c>
      <x:c r="H6" s="10" t="str">
        <x:v>Average Discount</x:v>
      </x:c>
      <x:c r="I6" s="15" t="n">
        <x:f>AVERAGE(E4:E9)</x:f>
        <x:v>0.055</x:v>
      </x:c>
    </x:row>
    <x:row r="7">
      <x:c r="A7" t="str">
        <x:v>February</x:v>
      </x:c>
      <x:c r="B7" t="str">
        <x:v>Backpack</x:v>
      </x:c>
      <x:c r="C7" t="n">
        <x:v>91</x:v>
      </x:c>
      <x:c r="D7" s="12" t="n">
        <x:v>49</x:v>
      </x:c>
      <x:c r="E7" s="13" t="n">
        <x:v>0.07</x:v>
      </x:c>
      <x:c r="F7" s="12" t="n">
        <x:f>C7*D7*(1-E7)</x:f>
        <x:v>4146.87</x:v>
      </x:c>
      <x:c r="H7" s="10" t="str">
        <x:v>Best Month</x:v>
      </x:c>
      <x:c r="I7" s="11" t="str">
        <x:f>INDEX(A4:A9,MATCH(MAX(F4:F9),F4:F9,0))</x:f>
        <x:v>March</x:v>
      </x:c>
    </x:row>
    <x:row r="8">
      <x:c r="A8" t="str">
        <x:v>March</x:v>
      </x:c>
      <x:c r="B8" t="str">
        <x:v>Notebook</x:v>
      </x:c>
      <x:c r="C8" t="n">
        <x:v>188</x:v>
      </x:c>
      <x:c r="D8" s="12" t="n">
        <x:v>18.5</x:v>
      </x:c>
      <x:c r="E8" s="13" t="n">
        <x:v>0.03</x:v>
      </x:c>
      <x:c r="F8" s="12" t="n">
        <x:f>C8*D8*(1-E8)</x:f>
        <x:v>3373.66</x:v>
      </x:c>
    </x:row>
    <x:row r="9">
      <x:c r="A9" t="str">
        <x:v>March</x:v>
      </x:c>
      <x:c r="B9" t="str">
        <x:v>Backpack</x:v>
      </x:c>
      <x:c r="C9" t="n">
        <x:v>103</x:v>
      </x:c>
      <x:c r="D9" s="12" t="n">
        <x:v>49</x:v>
      </x:c>
      <x:c r="E9" s="13" t="n">
        <x:v>0.06</x:v>
      </x:c>
      <x:c r="F9" s="12" t="n">
        <x:f>C9*D9*(1-E9)</x:f>
        <x:v>4744.179999999999</x:v>
      </x:c>
    </x:row>
    <x:row r="11">
      <x:c r="A11" s="16" t="str">
        <x:v>This workbook was generated with values, formulas, merged cells, number formats, borders, and a styled summary block.</x:v>
      </x:c>
    </x:row>
  </x:sheetData>
  <x:mergeCells>
    <x:mergeCell ref="A1:F1"/>
    <x:mergeCell ref="H3:I3"/>
    <x:mergeCell ref="A11:I11"/>
  </x:mergeCells>
  <x:pageMargins left="0.7" right="0.7" top="0.75" bottom="0.75" header="0.3" footer="0.3"/>
</x:worksheet>
</file>